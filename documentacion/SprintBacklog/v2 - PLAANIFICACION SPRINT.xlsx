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SPOCH\8. Octavo Semestre\Aplicaciones Informatica II\"/>
    </mc:Choice>
  </mc:AlternateContent>
  <xr:revisionPtr revIDLastSave="0" documentId="13_ncr:1_{7C011859-000E-45C2-B39D-7DA26E151467}" xr6:coauthVersionLast="47" xr6:coauthVersionMax="47" xr10:uidLastSave="{00000000-0000-0000-0000-000000000000}"/>
  <bookViews>
    <workbookView xWindow="30300" yWindow="660" windowWidth="17280" windowHeight="10155" xr2:uid="{C904407E-CD83-495F-B265-A387CF589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" l="1"/>
  <c r="M46" i="1"/>
  <c r="H44" i="1"/>
  <c r="H21" i="1"/>
</calcChain>
</file>

<file path=xl/sharedStrings.xml><?xml version="1.0" encoding="utf-8"?>
<sst xmlns="http://schemas.openxmlformats.org/spreadsheetml/2006/main" count="168" uniqueCount="136">
  <si>
    <t xml:space="preserve">HISTORIAS DE USUARIO </t>
  </si>
  <si>
    <t>Estimación</t>
  </si>
  <si>
    <t xml:space="preserve">Dependencias </t>
  </si>
  <si>
    <t xml:space="preserve">No. </t>
  </si>
  <si>
    <t xml:space="preserve">HISTORIAS USUARIO Y TECNICAS </t>
  </si>
  <si>
    <t>ID-HU</t>
  </si>
  <si>
    <t>ID-HT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</si>
  <si>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</si>
  <si>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</si>
  <si>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</si>
  <si>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</si>
  <si>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</si>
  <si>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</si>
  <si>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</si>
  <si>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</si>
  <si>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</si>
  <si>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</si>
  <si>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</si>
  <si>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</si>
  <si>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</si>
  <si>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</si>
  <si>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</si>
  <si>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</si>
  <si>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HT-03</t>
  </si>
  <si>
    <t>HT.01 - HT.05</t>
  </si>
  <si>
    <t>HT.03 - HT.06 -HT.07</t>
  </si>
  <si>
    <t>HT-01, HT-02</t>
  </si>
  <si>
    <t>HT-05, HT-07</t>
  </si>
  <si>
    <t>HT-15</t>
  </si>
  <si>
    <t>HT-15, HT-11</t>
  </si>
  <si>
    <t>HT-11, HT-16, HT-17</t>
  </si>
  <si>
    <t>HT-11, HT-10</t>
  </si>
  <si>
    <t>HT-13, HT-14</t>
  </si>
  <si>
    <t>HT-11, HT-15</t>
  </si>
  <si>
    <t>HT-16, HT-17</t>
  </si>
  <si>
    <t>RF01, RF02, RF03, RF04</t>
  </si>
  <si>
    <t>RF05, RF06, RF07</t>
  </si>
  <si>
    <t>RF08</t>
  </si>
  <si>
    <t>RF09</t>
  </si>
  <si>
    <t>RF10, RF11, RF12, RF13</t>
  </si>
  <si>
    <t>RF14, RF15, RF16</t>
  </si>
  <si>
    <t>RF17, RF18, RF19</t>
  </si>
  <si>
    <t>RF20, RF21, RF22</t>
  </si>
  <si>
    <t>RF23, RF24, RF25, RF26</t>
  </si>
  <si>
    <t>RF43, RF44</t>
  </si>
  <si>
    <t>RF27, RF28, RF29, RF30</t>
  </si>
  <si>
    <t>RF31, RF32, RF33</t>
  </si>
  <si>
    <t>RF34, RF35, RF36, RF37</t>
  </si>
  <si>
    <t>RF38, RF39, RF40, RF41</t>
  </si>
  <si>
    <t>RF42</t>
  </si>
  <si>
    <t>RF45</t>
  </si>
  <si>
    <t xml:space="preserve">HISTORIAS TECNICAS </t>
  </si>
  <si>
    <t xml:space="preserve">TOTAL </t>
  </si>
  <si>
    <t>HT-01</t>
  </si>
  <si>
    <t>HT-02</t>
  </si>
  <si>
    <t>HT-04</t>
  </si>
  <si>
    <t>HT-05</t>
  </si>
  <si>
    <t>HT-06</t>
  </si>
  <si>
    <t>HT-07</t>
  </si>
  <si>
    <t>HT-08</t>
  </si>
  <si>
    <t>HT-09</t>
  </si>
  <si>
    <t>HT-10</t>
  </si>
  <si>
    <t>HT-11</t>
  </si>
  <si>
    <t>HT-12</t>
  </si>
  <si>
    <t>HT-13</t>
  </si>
  <si>
    <t>HT-14</t>
  </si>
  <si>
    <t>HT-16</t>
  </si>
  <si>
    <t>RNF01</t>
  </si>
  <si>
    <t>RNF02, RNF03</t>
  </si>
  <si>
    <t>RNF05, RNF16, RNF17</t>
  </si>
  <si>
    <t>RNF04</t>
  </si>
  <si>
    <t>RNF06, RNF10</t>
  </si>
  <si>
    <t>RNF07, RNF09</t>
  </si>
  <si>
    <t>RNF08</t>
  </si>
  <si>
    <t>RNF11</t>
  </si>
  <si>
    <t>RNF12, RNF13</t>
  </si>
  <si>
    <t>RNF14</t>
  </si>
  <si>
    <t>RNF18</t>
  </si>
  <si>
    <t xml:space="preserve">RNF19 </t>
  </si>
  <si>
    <t>RNF21</t>
  </si>
  <si>
    <t>RNF22, RNF23</t>
  </si>
  <si>
    <t>RNF26, RNF28</t>
  </si>
  <si>
    <t>RNF27</t>
  </si>
  <si>
    <t>HT-17</t>
  </si>
  <si>
    <t>HT-18</t>
  </si>
  <si>
    <t>RNF23</t>
  </si>
  <si>
    <t>PRODUCT BACKLOG</t>
  </si>
  <si>
    <t>PILA</t>
  </si>
  <si>
    <t xml:space="preserve">HU-01  </t>
  </si>
  <si>
    <t xml:space="preserve">HT-05  </t>
  </si>
  <si>
    <t xml:space="preserve">HT-08  </t>
  </si>
  <si>
    <t xml:space="preserve">HU-03  </t>
  </si>
  <si>
    <t xml:space="preserve">HU-04  </t>
  </si>
  <si>
    <t xml:space="preserve">HT-01  </t>
  </si>
  <si>
    <t xml:space="preserve">HT-02  </t>
  </si>
  <si>
    <t xml:space="preserve">HT-04  </t>
  </si>
  <si>
    <t xml:space="preserve">HU-06  </t>
  </si>
  <si>
    <t xml:space="preserve">HT-18  </t>
  </si>
  <si>
    <t xml:space="preserve">HU-07  </t>
  </si>
  <si>
    <t xml:space="preserve">HU-08  </t>
  </si>
  <si>
    <t xml:space="preserve">HU-09  </t>
  </si>
  <si>
    <t xml:space="preserve">HT-15  </t>
  </si>
  <si>
    <t xml:space="preserve">HU-10  </t>
  </si>
  <si>
    <t xml:space="preserve">HU-16  </t>
  </si>
  <si>
    <t xml:space="preserve">HU-14  </t>
  </si>
  <si>
    <t xml:space="preserve">HU-15  </t>
  </si>
  <si>
    <t xml:space="preserve">HT-11  </t>
  </si>
  <si>
    <t xml:space="preserve">HU-12  </t>
  </si>
  <si>
    <t xml:space="preserve">HT-13  </t>
  </si>
  <si>
    <t xml:space="preserve">HT-14  </t>
  </si>
  <si>
    <t xml:space="preserve">HT-09  </t>
  </si>
  <si>
    <t xml:space="preserve">STRINT </t>
  </si>
  <si>
    <t xml:space="preserve">STRINT 1 </t>
  </si>
  <si>
    <t>STRINT 2</t>
  </si>
  <si>
    <t>STRINT 3</t>
  </si>
  <si>
    <t>HU-02 01</t>
  </si>
  <si>
    <t>HU-02 02</t>
  </si>
  <si>
    <t>HT-03  02</t>
  </si>
  <si>
    <t>HT-03  01</t>
  </si>
  <si>
    <t>HU-05  02</t>
  </si>
  <si>
    <t>HU-05  01</t>
  </si>
  <si>
    <t xml:space="preserve">STRINT 4 </t>
  </si>
  <si>
    <t>HU-13  02</t>
  </si>
  <si>
    <t>HU-13  01</t>
  </si>
  <si>
    <t>SPRINT 5</t>
  </si>
  <si>
    <t>SPRINT 6</t>
  </si>
  <si>
    <t>STRINT 7</t>
  </si>
  <si>
    <t>HU-11  02</t>
  </si>
  <si>
    <t>HU-11  01</t>
  </si>
  <si>
    <t>SPRINT 8</t>
  </si>
  <si>
    <t>SPRINT 10</t>
  </si>
  <si>
    <t>SPRINT 11</t>
  </si>
  <si>
    <t>SPRINT 9</t>
  </si>
  <si>
    <t>ESTIMACIÓN (H)</t>
  </si>
  <si>
    <t>ESTIMACIÓN  (H)</t>
  </si>
  <si>
    <t>Estimación 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</si>
</sst>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33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9966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F830-0F55-481C-99FD-CD3E55F5AEBB}">
  <dimension ref="B3:O46"/>
  <sheetViews>
    <sheetView tabSelected="1" topLeftCell="D25" workbookViewId="0">
      <selection activeCell="K12" sqref="K12"/>
    </sheetView>
  </sheetViews>
  <sheetFormatPr baseColWidth="10" defaultRowHeight="14.4" x14ac:dyDescent="0.3"/>
  <cols>
    <col min="1" max="1" width="10.44140625" customWidth="1"/>
    <col min="2" max="2" width="21" customWidth="1"/>
    <col min="3" max="3" width="20.6640625" customWidth="1"/>
    <col min="6" max="6" width="15.33203125" customWidth="1"/>
    <col min="7" max="7" width="25.77734375" customWidth="1"/>
    <col min="8" max="8" width="14.33203125" customWidth="1"/>
    <col min="13" max="13" width="15.77734375" customWidth="1"/>
    <col min="14" max="14" width="13.21875" customWidth="1"/>
    <col min="15" max="15" width="16.77734375" customWidth="1"/>
  </cols>
  <sheetData>
    <row r="3" spans="2:15" x14ac:dyDescent="0.3">
      <c r="B3" s="23" t="s">
        <v>4</v>
      </c>
      <c r="C3" s="23"/>
      <c r="F3" s="23" t="s">
        <v>0</v>
      </c>
      <c r="G3" s="23"/>
      <c r="H3" s="23"/>
    </row>
    <row r="4" spans="2:15" x14ac:dyDescent="0.3">
      <c r="B4" s="8" t="s">
        <v>5</v>
      </c>
      <c r="C4" s="8" t="s">
        <v>6</v>
      </c>
      <c r="F4" s="8" t="s">
        <v>3</v>
      </c>
      <c r="G4" s="8" t="s">
        <v>2</v>
      </c>
      <c r="H4" s="8" t="s">
        <v>135</v>
      </c>
    </row>
    <row r="5" spans="2:15" x14ac:dyDescent="0.3">
      <c r="B5" s="1" t="s">
        <v>7</v>
      </c>
      <c r="C5" s="1" t="s">
        <v>24</v>
      </c>
      <c r="F5" s="1" t="s">
        <v>7</v>
      </c>
      <c r="G5" s="1" t="s">
        <v>35</v>
      </c>
      <c r="H5" s="7">
        <v>10</v>
      </c>
      <c r="K5" s="16" t="s">
        <v>86</v>
      </c>
      <c r="L5" s="17"/>
      <c r="M5" s="17"/>
      <c r="N5" s="17"/>
      <c r="O5" s="18"/>
    </row>
    <row r="6" spans="2:15" x14ac:dyDescent="0.3">
      <c r="B6" s="1" t="s">
        <v>8</v>
      </c>
      <c r="C6" s="1" t="s">
        <v>25</v>
      </c>
      <c r="F6" s="1" t="s">
        <v>8</v>
      </c>
      <c r="G6" s="1" t="s">
        <v>36</v>
      </c>
      <c r="H6" s="7">
        <v>14</v>
      </c>
      <c r="K6" s="2" t="s">
        <v>87</v>
      </c>
      <c r="L6" s="2"/>
      <c r="M6" s="2" t="s">
        <v>133</v>
      </c>
      <c r="N6" s="2" t="s">
        <v>111</v>
      </c>
      <c r="O6" s="2" t="s">
        <v>134</v>
      </c>
    </row>
    <row r="7" spans="2:15" x14ac:dyDescent="0.3">
      <c r="B7" s="1" t="s">
        <v>9</v>
      </c>
      <c r="C7" s="1" t="s">
        <v>26</v>
      </c>
      <c r="F7" s="1" t="s">
        <v>9</v>
      </c>
      <c r="G7" s="1" t="s">
        <v>37</v>
      </c>
      <c r="H7" s="7">
        <v>3</v>
      </c>
      <c r="K7" s="5" t="s">
        <v>83</v>
      </c>
      <c r="L7" s="1"/>
      <c r="M7" s="7">
        <v>5</v>
      </c>
      <c r="N7" s="19" t="s">
        <v>112</v>
      </c>
      <c r="O7" s="19">
        <v>23</v>
      </c>
    </row>
    <row r="8" spans="2:15" x14ac:dyDescent="0.3">
      <c r="B8" s="1" t="s">
        <v>10</v>
      </c>
      <c r="C8" s="1" t="s">
        <v>27</v>
      </c>
      <c r="F8" s="1" t="s">
        <v>10</v>
      </c>
      <c r="G8" s="1" t="s">
        <v>38</v>
      </c>
      <c r="H8" s="7">
        <v>4</v>
      </c>
      <c r="K8" s="5" t="s">
        <v>97</v>
      </c>
      <c r="L8" s="1"/>
      <c r="M8" s="7">
        <v>3</v>
      </c>
      <c r="N8" s="19"/>
      <c r="O8" s="19"/>
    </row>
    <row r="9" spans="2:15" x14ac:dyDescent="0.3">
      <c r="B9" s="1" t="s">
        <v>11</v>
      </c>
      <c r="C9" s="1" t="s">
        <v>34</v>
      </c>
      <c r="F9" s="1" t="s">
        <v>11</v>
      </c>
      <c r="G9" s="1" t="s">
        <v>39</v>
      </c>
      <c r="H9" s="7">
        <v>16</v>
      </c>
      <c r="K9" s="1" t="s">
        <v>88</v>
      </c>
      <c r="L9" s="1"/>
      <c r="M9" s="7">
        <v>10</v>
      </c>
      <c r="N9" s="19"/>
      <c r="O9" s="19"/>
    </row>
    <row r="10" spans="2:15" x14ac:dyDescent="0.3">
      <c r="B10" s="1" t="s">
        <v>12</v>
      </c>
      <c r="C10" s="1" t="s">
        <v>34</v>
      </c>
      <c r="F10" s="1" t="s">
        <v>12</v>
      </c>
      <c r="G10" s="1" t="s">
        <v>40</v>
      </c>
      <c r="H10" s="7">
        <v>12</v>
      </c>
      <c r="K10" s="5" t="s">
        <v>89</v>
      </c>
      <c r="L10" s="1"/>
      <c r="M10" s="7">
        <v>5</v>
      </c>
      <c r="N10" s="19"/>
      <c r="O10" s="19"/>
    </row>
    <row r="11" spans="2:15" x14ac:dyDescent="0.3">
      <c r="B11" s="1" t="s">
        <v>13</v>
      </c>
      <c r="C11" s="1" t="s">
        <v>28</v>
      </c>
      <c r="F11" s="1" t="s">
        <v>13</v>
      </c>
      <c r="G11" s="1" t="s">
        <v>41</v>
      </c>
      <c r="H11" s="7">
        <v>14</v>
      </c>
      <c r="K11" s="5" t="s">
        <v>66</v>
      </c>
      <c r="L11" s="1"/>
      <c r="M11" s="7">
        <v>5</v>
      </c>
      <c r="N11" s="20" t="s">
        <v>113</v>
      </c>
      <c r="O11" s="20">
        <v>24</v>
      </c>
    </row>
    <row r="12" spans="2:15" x14ac:dyDescent="0.3">
      <c r="B12" s="1" t="s">
        <v>14</v>
      </c>
      <c r="C12" s="1" t="s">
        <v>28</v>
      </c>
      <c r="F12" s="1" t="s">
        <v>14</v>
      </c>
      <c r="G12" s="1" t="s">
        <v>42</v>
      </c>
      <c r="H12" s="7">
        <v>10</v>
      </c>
      <c r="K12" s="5" t="s">
        <v>57</v>
      </c>
      <c r="L12" s="1"/>
      <c r="M12" s="7">
        <v>6</v>
      </c>
      <c r="N12" s="20"/>
      <c r="O12" s="20"/>
    </row>
    <row r="13" spans="2:15" x14ac:dyDescent="0.3">
      <c r="B13" s="1" t="s">
        <v>15</v>
      </c>
      <c r="C13" s="1" t="s">
        <v>29</v>
      </c>
      <c r="F13" s="1" t="s">
        <v>15</v>
      </c>
      <c r="G13" s="1" t="s">
        <v>43</v>
      </c>
      <c r="H13" s="7">
        <v>16</v>
      </c>
      <c r="K13" s="5" t="s">
        <v>90</v>
      </c>
      <c r="L13" s="1"/>
      <c r="M13" s="7">
        <v>6</v>
      </c>
      <c r="N13" s="20"/>
      <c r="O13" s="20"/>
    </row>
    <row r="14" spans="2:15" x14ac:dyDescent="0.3">
      <c r="B14" s="1" t="s">
        <v>16</v>
      </c>
      <c r="C14" s="1" t="s">
        <v>30</v>
      </c>
      <c r="F14" s="1" t="s">
        <v>16</v>
      </c>
      <c r="G14" s="1" t="s">
        <v>44</v>
      </c>
      <c r="H14" s="7">
        <v>8</v>
      </c>
      <c r="K14" s="1" t="s">
        <v>115</v>
      </c>
      <c r="L14" s="1"/>
      <c r="M14" s="7">
        <v>7</v>
      </c>
      <c r="N14" s="20"/>
      <c r="O14" s="20"/>
    </row>
    <row r="15" spans="2:15" x14ac:dyDescent="0.3">
      <c r="B15" s="1" t="s">
        <v>17</v>
      </c>
      <c r="C15" s="1" t="s">
        <v>31</v>
      </c>
      <c r="F15" s="1" t="s">
        <v>17</v>
      </c>
      <c r="G15" s="1" t="s">
        <v>45</v>
      </c>
      <c r="H15" s="7">
        <v>16</v>
      </c>
      <c r="K15" s="1" t="s">
        <v>116</v>
      </c>
      <c r="L15" s="1"/>
      <c r="M15" s="7">
        <v>7</v>
      </c>
      <c r="N15" s="21" t="s">
        <v>114</v>
      </c>
      <c r="O15" s="21">
        <v>25</v>
      </c>
    </row>
    <row r="16" spans="2:15" x14ac:dyDescent="0.3">
      <c r="B16" s="1" t="s">
        <v>18</v>
      </c>
      <c r="C16" s="4" t="s">
        <v>32</v>
      </c>
      <c r="F16" s="1" t="s">
        <v>18</v>
      </c>
      <c r="G16" s="1" t="s">
        <v>46</v>
      </c>
      <c r="H16" s="7">
        <v>14</v>
      </c>
      <c r="K16" s="1" t="s">
        <v>91</v>
      </c>
      <c r="L16" s="1"/>
      <c r="M16" s="7">
        <v>3</v>
      </c>
      <c r="N16" s="21"/>
      <c r="O16" s="21"/>
    </row>
    <row r="17" spans="2:15" x14ac:dyDescent="0.3">
      <c r="B17" s="1" t="s">
        <v>19</v>
      </c>
      <c r="C17" s="1" t="s">
        <v>34</v>
      </c>
      <c r="F17" s="1" t="s">
        <v>19</v>
      </c>
      <c r="G17" s="1" t="s">
        <v>47</v>
      </c>
      <c r="H17" s="7">
        <v>16</v>
      </c>
      <c r="K17" s="1" t="s">
        <v>92</v>
      </c>
      <c r="L17" s="1"/>
      <c r="M17" s="7">
        <v>4</v>
      </c>
      <c r="N17" s="21"/>
      <c r="O17" s="21"/>
    </row>
    <row r="18" spans="2:15" x14ac:dyDescent="0.3">
      <c r="B18" s="1" t="s">
        <v>20</v>
      </c>
      <c r="C18" s="1" t="s">
        <v>31</v>
      </c>
      <c r="F18" s="1" t="s">
        <v>20</v>
      </c>
      <c r="G18" s="1" t="s">
        <v>48</v>
      </c>
      <c r="H18" s="7">
        <v>12</v>
      </c>
      <c r="K18" s="5" t="s">
        <v>93</v>
      </c>
      <c r="L18" s="1"/>
      <c r="M18" s="7">
        <v>5</v>
      </c>
      <c r="N18" s="21"/>
      <c r="O18" s="21"/>
    </row>
    <row r="19" spans="2:15" x14ac:dyDescent="0.3">
      <c r="B19" s="1" t="s">
        <v>21</v>
      </c>
      <c r="C19" s="1" t="s">
        <v>33</v>
      </c>
      <c r="F19" s="1" t="s">
        <v>21</v>
      </c>
      <c r="G19" s="1" t="s">
        <v>49</v>
      </c>
      <c r="H19" s="7">
        <v>4</v>
      </c>
      <c r="K19" s="5" t="s">
        <v>94</v>
      </c>
      <c r="L19" s="1"/>
      <c r="M19" s="7">
        <v>4</v>
      </c>
      <c r="N19" s="21"/>
      <c r="O19" s="21"/>
    </row>
    <row r="20" spans="2:15" x14ac:dyDescent="0.3">
      <c r="B20" s="1" t="s">
        <v>22</v>
      </c>
      <c r="C20" s="1" t="s">
        <v>30</v>
      </c>
      <c r="F20" s="1" t="s">
        <v>22</v>
      </c>
      <c r="G20" s="1" t="s">
        <v>50</v>
      </c>
      <c r="H20" s="7">
        <v>6</v>
      </c>
      <c r="K20" s="5" t="s">
        <v>118</v>
      </c>
      <c r="L20" s="1"/>
      <c r="M20" s="7">
        <v>2</v>
      </c>
      <c r="N20" s="21"/>
      <c r="O20" s="21"/>
    </row>
    <row r="21" spans="2:15" x14ac:dyDescent="0.3">
      <c r="G21" s="3" t="s">
        <v>52</v>
      </c>
      <c r="H21" s="2">
        <f>SUM(H5:H20)</f>
        <v>175</v>
      </c>
      <c r="K21" s="5" t="s">
        <v>117</v>
      </c>
      <c r="L21" s="1"/>
      <c r="M21" s="7">
        <v>8</v>
      </c>
      <c r="N21" s="22" t="s">
        <v>121</v>
      </c>
      <c r="O21" s="22">
        <v>25</v>
      </c>
    </row>
    <row r="22" spans="2:15" x14ac:dyDescent="0.3">
      <c r="K22" s="5" t="s">
        <v>95</v>
      </c>
      <c r="L22" s="1"/>
      <c r="M22" s="7">
        <v>4</v>
      </c>
      <c r="N22" s="22"/>
      <c r="O22" s="22"/>
    </row>
    <row r="23" spans="2:15" x14ac:dyDescent="0.3">
      <c r="K23" s="1" t="s">
        <v>120</v>
      </c>
      <c r="L23" s="1"/>
      <c r="M23" s="7">
        <v>13</v>
      </c>
      <c r="N23" s="22"/>
      <c r="O23" s="22"/>
    </row>
    <row r="24" spans="2:15" x14ac:dyDescent="0.3">
      <c r="F24" s="23" t="s">
        <v>51</v>
      </c>
      <c r="G24" s="23"/>
      <c r="H24" s="23"/>
      <c r="K24" s="1" t="s">
        <v>119</v>
      </c>
      <c r="L24" s="1"/>
      <c r="M24" s="7">
        <v>3</v>
      </c>
      <c r="N24" s="13" t="s">
        <v>124</v>
      </c>
      <c r="O24" s="13">
        <v>25</v>
      </c>
    </row>
    <row r="25" spans="2:15" x14ac:dyDescent="0.3">
      <c r="F25" s="8" t="s">
        <v>3</v>
      </c>
      <c r="G25" s="8" t="s">
        <v>2</v>
      </c>
      <c r="H25" s="8" t="s">
        <v>1</v>
      </c>
      <c r="K25" s="1" t="s">
        <v>96</v>
      </c>
      <c r="L25" s="1"/>
      <c r="M25" s="7">
        <v>12</v>
      </c>
      <c r="N25" s="13"/>
      <c r="O25" s="13"/>
    </row>
    <row r="26" spans="2:15" x14ac:dyDescent="0.3">
      <c r="F26" s="1" t="s">
        <v>53</v>
      </c>
      <c r="G26" s="1" t="s">
        <v>68</v>
      </c>
      <c r="H26" s="7">
        <v>5</v>
      </c>
      <c r="K26" s="1" t="s">
        <v>123</v>
      </c>
      <c r="L26" s="1"/>
      <c r="M26" s="7">
        <v>10</v>
      </c>
      <c r="N26" s="13"/>
      <c r="O26" s="13"/>
    </row>
    <row r="27" spans="2:15" x14ac:dyDescent="0.3">
      <c r="F27" s="1" t="s">
        <v>54</v>
      </c>
      <c r="G27" s="1" t="s">
        <v>67</v>
      </c>
      <c r="H27" s="7">
        <v>4</v>
      </c>
      <c r="K27" s="1" t="s">
        <v>122</v>
      </c>
      <c r="L27" s="1"/>
      <c r="M27" s="7">
        <v>6</v>
      </c>
      <c r="N27" s="14" t="s">
        <v>125</v>
      </c>
      <c r="O27" s="14">
        <v>24</v>
      </c>
    </row>
    <row r="28" spans="2:15" x14ac:dyDescent="0.3">
      <c r="F28" s="1" t="s">
        <v>23</v>
      </c>
      <c r="G28" s="1" t="s">
        <v>69</v>
      </c>
      <c r="H28" s="7">
        <v>10</v>
      </c>
      <c r="K28" s="5" t="s">
        <v>58</v>
      </c>
      <c r="L28" s="1"/>
      <c r="M28" s="7">
        <v>4</v>
      </c>
      <c r="N28" s="14"/>
      <c r="O28" s="14"/>
    </row>
    <row r="29" spans="2:15" x14ac:dyDescent="0.3">
      <c r="F29" s="1" t="s">
        <v>55</v>
      </c>
      <c r="G29" s="1" t="s">
        <v>70</v>
      </c>
      <c r="H29" s="7">
        <v>4</v>
      </c>
      <c r="K29" s="1" t="s">
        <v>98</v>
      </c>
      <c r="L29" s="1"/>
      <c r="M29" s="7">
        <v>14</v>
      </c>
      <c r="N29" s="14"/>
      <c r="O29" s="14"/>
    </row>
    <row r="30" spans="2:15" x14ac:dyDescent="0.3">
      <c r="F30" s="1" t="s">
        <v>56</v>
      </c>
      <c r="G30" s="1" t="s">
        <v>71</v>
      </c>
      <c r="H30" s="7">
        <v>5</v>
      </c>
      <c r="K30" s="1" t="s">
        <v>99</v>
      </c>
      <c r="L30" s="1"/>
      <c r="M30" s="7">
        <v>10</v>
      </c>
      <c r="N30" s="15" t="s">
        <v>126</v>
      </c>
      <c r="O30" s="15">
        <v>26</v>
      </c>
    </row>
    <row r="31" spans="2:15" x14ac:dyDescent="0.3">
      <c r="F31" s="1" t="s">
        <v>57</v>
      </c>
      <c r="G31" s="1" t="s">
        <v>72</v>
      </c>
      <c r="H31" s="7">
        <v>6</v>
      </c>
      <c r="K31" s="1" t="s">
        <v>100</v>
      </c>
      <c r="L31" s="1"/>
      <c r="M31" s="7">
        <v>16</v>
      </c>
      <c r="N31" s="15"/>
      <c r="O31" s="15"/>
    </row>
    <row r="32" spans="2:15" x14ac:dyDescent="0.3">
      <c r="F32" s="1" t="s">
        <v>58</v>
      </c>
      <c r="G32" s="1" t="s">
        <v>73</v>
      </c>
      <c r="H32" s="7">
        <v>5</v>
      </c>
      <c r="K32" s="5" t="s">
        <v>101</v>
      </c>
      <c r="L32" s="1"/>
      <c r="M32" s="7">
        <v>4</v>
      </c>
      <c r="N32" s="10" t="s">
        <v>129</v>
      </c>
      <c r="O32" s="10">
        <v>25</v>
      </c>
    </row>
    <row r="33" spans="6:15" x14ac:dyDescent="0.3">
      <c r="F33" s="1" t="s">
        <v>59</v>
      </c>
      <c r="G33" s="1" t="s">
        <v>74</v>
      </c>
      <c r="H33" s="7">
        <v>6</v>
      </c>
      <c r="K33" s="1" t="s">
        <v>102</v>
      </c>
      <c r="L33" s="1"/>
      <c r="M33" s="7">
        <v>8</v>
      </c>
      <c r="N33" s="10"/>
      <c r="O33" s="10"/>
    </row>
    <row r="34" spans="6:15" x14ac:dyDescent="0.3">
      <c r="F34" s="1" t="s">
        <v>60</v>
      </c>
      <c r="G34" s="1" t="s">
        <v>75</v>
      </c>
      <c r="H34" s="7">
        <v>3</v>
      </c>
      <c r="K34" s="1" t="s">
        <v>103</v>
      </c>
      <c r="L34" s="1"/>
      <c r="M34" s="7">
        <v>6</v>
      </c>
      <c r="N34" s="10"/>
      <c r="O34" s="10"/>
    </row>
    <row r="35" spans="6:15" x14ac:dyDescent="0.3">
      <c r="F35" s="1" t="s">
        <v>61</v>
      </c>
      <c r="G35" s="1" t="s">
        <v>76</v>
      </c>
      <c r="H35" s="7">
        <v>4</v>
      </c>
      <c r="K35" s="1" t="s">
        <v>128</v>
      </c>
      <c r="L35" s="1"/>
      <c r="M35" s="7">
        <v>7</v>
      </c>
      <c r="N35" s="10"/>
      <c r="O35" s="10"/>
    </row>
    <row r="36" spans="6:15" x14ac:dyDescent="0.3">
      <c r="F36" s="1" t="s">
        <v>62</v>
      </c>
      <c r="G36" s="1" t="s">
        <v>77</v>
      </c>
      <c r="H36" s="7">
        <v>4</v>
      </c>
      <c r="K36" s="1" t="s">
        <v>127</v>
      </c>
      <c r="L36" s="1"/>
      <c r="M36" s="7">
        <v>9</v>
      </c>
      <c r="N36" s="11" t="s">
        <v>132</v>
      </c>
      <c r="O36" s="11">
        <v>25</v>
      </c>
    </row>
    <row r="37" spans="6:15" x14ac:dyDescent="0.3">
      <c r="F37" s="1" t="s">
        <v>63</v>
      </c>
      <c r="G37" s="1" t="s">
        <v>78</v>
      </c>
      <c r="H37" s="7">
        <v>5</v>
      </c>
      <c r="K37" s="1" t="s">
        <v>104</v>
      </c>
      <c r="L37" s="1"/>
      <c r="M37" s="7">
        <v>12</v>
      </c>
      <c r="N37" s="11"/>
      <c r="O37" s="11"/>
    </row>
    <row r="38" spans="6:15" x14ac:dyDescent="0.3">
      <c r="F38" s="1" t="s">
        <v>64</v>
      </c>
      <c r="G38" s="1" t="s">
        <v>79</v>
      </c>
      <c r="H38" s="7">
        <v>4</v>
      </c>
      <c r="K38" s="1" t="s">
        <v>105</v>
      </c>
      <c r="L38" s="1"/>
      <c r="M38" s="7">
        <v>4</v>
      </c>
      <c r="N38" s="11"/>
      <c r="O38" s="11"/>
    </row>
    <row r="39" spans="6:15" x14ac:dyDescent="0.3">
      <c r="F39" s="1" t="s">
        <v>65</v>
      </c>
      <c r="G39" s="1" t="s">
        <v>80</v>
      </c>
      <c r="H39" s="7">
        <v>8</v>
      </c>
      <c r="K39" s="5" t="s">
        <v>106</v>
      </c>
      <c r="L39" s="1"/>
      <c r="M39" s="7">
        <v>4</v>
      </c>
      <c r="N39" s="12" t="s">
        <v>130</v>
      </c>
      <c r="O39" s="12">
        <v>23</v>
      </c>
    </row>
    <row r="40" spans="6:15" x14ac:dyDescent="0.3">
      <c r="F40" s="1" t="s">
        <v>28</v>
      </c>
      <c r="G40" s="1" t="s">
        <v>81</v>
      </c>
      <c r="H40" s="7">
        <v>4</v>
      </c>
      <c r="K40" s="6" t="s">
        <v>63</v>
      </c>
      <c r="L40" s="1"/>
      <c r="M40" s="7">
        <v>5</v>
      </c>
      <c r="N40" s="12"/>
      <c r="O40" s="12"/>
    </row>
    <row r="41" spans="6:15" x14ac:dyDescent="0.3">
      <c r="F41" s="1" t="s">
        <v>66</v>
      </c>
      <c r="G41" s="1" t="s">
        <v>82</v>
      </c>
      <c r="H41" s="7">
        <v>4</v>
      </c>
      <c r="K41" s="1" t="s">
        <v>107</v>
      </c>
      <c r="L41" s="1"/>
      <c r="M41" s="7">
        <v>14</v>
      </c>
      <c r="N41" s="12"/>
      <c r="O41" s="12"/>
    </row>
    <row r="42" spans="6:15" x14ac:dyDescent="0.3">
      <c r="F42" s="1" t="s">
        <v>83</v>
      </c>
      <c r="G42" s="1"/>
      <c r="H42" s="7">
        <v>5</v>
      </c>
      <c r="K42" s="5" t="s">
        <v>108</v>
      </c>
      <c r="L42" s="1"/>
      <c r="M42" s="7">
        <v>4</v>
      </c>
      <c r="N42" s="9" t="s">
        <v>131</v>
      </c>
      <c r="O42" s="9">
        <v>19</v>
      </c>
    </row>
    <row r="43" spans="6:15" x14ac:dyDescent="0.3">
      <c r="F43" s="1" t="s">
        <v>84</v>
      </c>
      <c r="G43" s="1" t="s">
        <v>85</v>
      </c>
      <c r="H43" s="7">
        <v>3</v>
      </c>
      <c r="K43" s="5" t="s">
        <v>109</v>
      </c>
      <c r="L43" s="1"/>
      <c r="M43" s="7">
        <v>8</v>
      </c>
      <c r="N43" s="9"/>
      <c r="O43" s="9"/>
    </row>
    <row r="44" spans="6:15" x14ac:dyDescent="0.3">
      <c r="G44" s="3" t="s">
        <v>52</v>
      </c>
      <c r="H44" s="2">
        <f>SUM(H26:H43)</f>
        <v>89</v>
      </c>
      <c r="K44" s="5" t="s">
        <v>110</v>
      </c>
      <c r="L44" s="1"/>
      <c r="M44" s="7">
        <v>3</v>
      </c>
      <c r="N44" s="9"/>
      <c r="O44" s="9"/>
    </row>
    <row r="45" spans="6:15" x14ac:dyDescent="0.3">
      <c r="K45" s="5" t="s">
        <v>61</v>
      </c>
      <c r="L45" s="1"/>
      <c r="M45" s="7">
        <v>4</v>
      </c>
      <c r="N45" s="9"/>
      <c r="O45" s="9"/>
    </row>
    <row r="46" spans="6:15" x14ac:dyDescent="0.3">
      <c r="L46" s="3" t="s">
        <v>52</v>
      </c>
      <c r="M46" s="3">
        <f>SUM(M7:M45)</f>
        <v>264</v>
      </c>
      <c r="N46" s="3">
        <v>11</v>
      </c>
      <c r="O46" s="1">
        <f>SUM(O7:O45)</f>
        <v>264</v>
      </c>
    </row>
  </sheetData>
  <mergeCells count="26">
    <mergeCell ref="B3:C3"/>
    <mergeCell ref="F24:H24"/>
    <mergeCell ref="N15:N20"/>
    <mergeCell ref="O15:O20"/>
    <mergeCell ref="N21:N23"/>
    <mergeCell ref="O21:O23"/>
    <mergeCell ref="F3:H3"/>
    <mergeCell ref="K5:O5"/>
    <mergeCell ref="N7:N10"/>
    <mergeCell ref="O7:O10"/>
    <mergeCell ref="N11:N14"/>
    <mergeCell ref="O11:O14"/>
    <mergeCell ref="N24:N26"/>
    <mergeCell ref="O24:O26"/>
    <mergeCell ref="N27:N29"/>
    <mergeCell ref="O27:O29"/>
    <mergeCell ref="N30:N31"/>
    <mergeCell ref="O30:O31"/>
    <mergeCell ref="N42:N45"/>
    <mergeCell ref="O42:O45"/>
    <mergeCell ref="N32:N35"/>
    <mergeCell ref="N36:N38"/>
    <mergeCell ref="O32:O35"/>
    <mergeCell ref="O36:O38"/>
    <mergeCell ref="O39:O41"/>
    <mergeCell ref="N39:N4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ALEXANDER CHARCO TENESACA</dc:creator>
  <cp:lastModifiedBy>JEFERSON ALEXANDER CHARCO TENESACA</cp:lastModifiedBy>
  <cp:lastPrinted>2025-10-21T02:54:52Z</cp:lastPrinted>
  <dcterms:created xsi:type="dcterms:W3CDTF">2025-10-17T20:40:50Z</dcterms:created>
  <dcterms:modified xsi:type="dcterms:W3CDTF">2025-10-21T03:13:11Z</dcterms:modified>
</cp:coreProperties>
</file>