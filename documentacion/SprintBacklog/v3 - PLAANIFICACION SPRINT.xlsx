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SPOCH\8. Octavo Semestre\Aplicaciones Informatica II\"/>
    </mc:Choice>
  </mc:AlternateContent>
  <xr:revisionPtr revIDLastSave="0" documentId="13_ncr:1_{8C01CC3F-456D-4ED2-B612-06680C3A4409}" xr6:coauthVersionLast="47" xr6:coauthVersionMax="47" xr10:uidLastSave="{00000000-0000-0000-0000-000000000000}"/>
  <bookViews>
    <workbookView xWindow="28680" yWindow="-120" windowWidth="20730" windowHeight="11040" xr2:uid="{C904407E-CD83-495F-B265-A387CF589F6F}"/>
  </bookViews>
  <sheets>
    <sheet name="Hoja1" sheetId="1" r:id="rId1"/>
  </sheets>
  <definedNames>
    <definedName name="_Hlk212062447" localSheetId="0">Hoja1!$L$11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O40" i="1"/>
  <c r="M40" i="1"/>
  <c r="H21" i="1"/>
</calcChain>
</file>

<file path=xl/sharedStrings.xml><?xml version="1.0" encoding="utf-8"?>
<sst xmlns="http://schemas.openxmlformats.org/spreadsheetml/2006/main" count="185" uniqueCount="142">
  <si>
    <t xml:space="preserve">HISTORIAS DE USUARIO </t>
  </si>
  <si>
    <t>Estimación</t>
  </si>
  <si>
    <t xml:space="preserve">Dependencias </t>
  </si>
  <si>
    <t xml:space="preserve">No. </t>
  </si>
  <si>
    <t xml:space="preserve">HISTORIAS USUARIO Y TECNICAS </t>
  </si>
  <si>
    <t>ID-HU</t>
  </si>
  <si>
    <t>ID-HT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</si>
  <si>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</si>
  <si>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</si>
  <si>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</si>
  <si>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</si>
  <si>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</si>
  <si>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</si>
  <si>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</si>
  <si>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</si>
  <si>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</si>
  <si>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</si>
  <si>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</si>
  <si>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</si>
  <si>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</si>
  <si>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</si>
  <si>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</si>
  <si>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HU-16</t>
  </si>
  <si>
    <t>HT-03</t>
  </si>
  <si>
    <t>HT.01 - HT.05</t>
  </si>
  <si>
    <t>HT.03 - HT.06 -HT.07</t>
  </si>
  <si>
    <t>HT-01, HT-02</t>
  </si>
  <si>
    <t>HT-05, HT-07</t>
  </si>
  <si>
    <t>HT-15</t>
  </si>
  <si>
    <t>HT-15, HT-11</t>
  </si>
  <si>
    <t>HT-11, HT-16, HT-17</t>
  </si>
  <si>
    <t>HT-11, HT-10</t>
  </si>
  <si>
    <t>HT-13, HT-14</t>
  </si>
  <si>
    <t>HT-11, HT-15</t>
  </si>
  <si>
    <t>HT-16, HT-17</t>
  </si>
  <si>
    <t>RF01, RF02, RF03, RF04</t>
  </si>
  <si>
    <t>RF05, RF06, RF07</t>
  </si>
  <si>
    <t>RF08</t>
  </si>
  <si>
    <t>RF09</t>
  </si>
  <si>
    <t>RF10, RF11, RF12, RF13</t>
  </si>
  <si>
    <t>RF14, RF15, RF16</t>
  </si>
  <si>
    <t>RF17, RF18, RF19</t>
  </si>
  <si>
    <t>RF20, RF21, RF22</t>
  </si>
  <si>
    <t>RF23, RF24, RF25, RF26</t>
  </si>
  <si>
    <t>RF43, RF44</t>
  </si>
  <si>
    <t>RF27, RF28, RF29, RF30</t>
  </si>
  <si>
    <t>RF31, RF32, RF33</t>
  </si>
  <si>
    <t>RF34, RF35, RF36, RF37</t>
  </si>
  <si>
    <t>RF38, RF39, RF40, RF41</t>
  </si>
  <si>
    <t>RF42</t>
  </si>
  <si>
    <t>RF45</t>
  </si>
  <si>
    <t xml:space="preserve">HISTORIAS TECNICAS </t>
  </si>
  <si>
    <t xml:space="preserve">TOTAL </t>
  </si>
  <si>
    <t>HT-01</t>
  </si>
  <si>
    <t>HT-02</t>
  </si>
  <si>
    <t>HT-04</t>
  </si>
  <si>
    <t>HT-05</t>
  </si>
  <si>
    <t>HT-06</t>
  </si>
  <si>
    <t>HT-07</t>
  </si>
  <si>
    <t>HT-08</t>
  </si>
  <si>
    <t>HT-09</t>
  </si>
  <si>
    <t>HT-10</t>
  </si>
  <si>
    <t>HT-11</t>
  </si>
  <si>
    <t>HT-12</t>
  </si>
  <si>
    <t>RNF11</t>
  </si>
  <si>
    <t xml:space="preserve">RNF19 </t>
  </si>
  <si>
    <t>RNF21</t>
  </si>
  <si>
    <t>PRODUCT BACKLOG</t>
  </si>
  <si>
    <t>PILA</t>
  </si>
  <si>
    <t xml:space="preserve">HU-03  </t>
  </si>
  <si>
    <t xml:space="preserve">HU-04  </t>
  </si>
  <si>
    <t xml:space="preserve">HU-06  </t>
  </si>
  <si>
    <t xml:space="preserve">HU-08  </t>
  </si>
  <si>
    <t xml:space="preserve">HU-10  </t>
  </si>
  <si>
    <t xml:space="preserve">HU-16  </t>
  </si>
  <si>
    <t xml:space="preserve">HU-14  </t>
  </si>
  <si>
    <t xml:space="preserve">HU-15  </t>
  </si>
  <si>
    <t xml:space="preserve">HT-11  </t>
  </si>
  <si>
    <t xml:space="preserve">HU-12  </t>
  </si>
  <si>
    <t xml:space="preserve">STRINT </t>
  </si>
  <si>
    <t xml:space="preserve">STRINT 1 </t>
  </si>
  <si>
    <t>STRINT 2</t>
  </si>
  <si>
    <t>STRINT 3</t>
  </si>
  <si>
    <t xml:space="preserve">STRINT 4 </t>
  </si>
  <si>
    <t>SPRINT 5</t>
  </si>
  <si>
    <t>SPRINT 6</t>
  </si>
  <si>
    <t>STRINT 7</t>
  </si>
  <si>
    <t>SPRINT 8</t>
  </si>
  <si>
    <t>SPRINT 10</t>
  </si>
  <si>
    <t>SPRINT 11</t>
  </si>
  <si>
    <t>SPRINT 9</t>
  </si>
  <si>
    <t>ESTIMACIÓN (H)</t>
  </si>
  <si>
    <t>ESTIMACIÓN  (H)</t>
  </si>
  <si>
    <t>Estimación  (H)</t>
  </si>
  <si>
    <t>Diseño del modelo de base de datos (PostgreSQL).</t>
  </si>
  <si>
    <t>Integración del backend con PostgreSQL.</t>
  </si>
  <si>
    <t>Configuración del entorno de desarrollo con el uso de tecnologías portable y multiplataforma</t>
  </si>
  <si>
    <t>Cifrado de comunicaciones y protección de integridad de datos</t>
  </si>
  <si>
    <t>Diseño modular y mantenimiento del sistema</t>
  </si>
  <si>
    <t>Autenticación y seguridad de acceso.</t>
  </si>
  <si>
    <t>Implementación de autenticación segura y control de acceso por roles.</t>
  </si>
  <si>
    <t>Protección ante errores y ataques comunes (seguridad del backend)</t>
  </si>
  <si>
    <t>Gestión de Usuarios.</t>
  </si>
  <si>
    <t>Consulta y filtrado de usuarios.</t>
  </si>
  <si>
    <t>Asignación de Roles y Permisos</t>
  </si>
  <si>
    <t>Monitoreo, Alta Disponibilidad y Escalabilidad del Sistema</t>
  </si>
  <si>
    <t>Implementación de tolerancia y recuperación ante fallos</t>
  </si>
  <si>
    <t>Gestión de Medidores.</t>
  </si>
  <si>
    <t>Gestión de Sectores</t>
  </si>
  <si>
    <t>Visualización Geográfica de Medidores.</t>
  </si>
  <si>
    <t>Gestión de Tarifas.</t>
  </si>
  <si>
    <t>Gestión de Servicios Adicionales.</t>
  </si>
  <si>
    <t>Registro y Cálculo de Consumo.</t>
  </si>
  <si>
    <t>Registro y Control de Multas.</t>
  </si>
  <si>
    <t>Anulación o modificación de multas.</t>
  </si>
  <si>
    <t>Generación y Gestión de Facturas Comunitarias.</t>
  </si>
  <si>
    <t>Gestión de Pagos por Transferencia Bancaria.</t>
  </si>
  <si>
    <t>Generación de factura por traspaso de medidor.</t>
  </si>
  <si>
    <t>Módulo de Reportes y Análisis Estadístico.</t>
  </si>
  <si>
    <t>Automatización de respaldos</t>
  </si>
  <si>
    <t>Sistema de notificación de mantenimiento programado</t>
  </si>
  <si>
    <t>Implementación de accesibilidad remota 24/7</t>
  </si>
  <si>
    <t xml:space="preserve">HU-13 </t>
  </si>
  <si>
    <t xml:space="preserve">HU-11 </t>
  </si>
  <si>
    <t>HT-02 01</t>
  </si>
  <si>
    <t>HT-02 02</t>
  </si>
  <si>
    <t>HU-05 01</t>
  </si>
  <si>
    <t>HU-05 02</t>
  </si>
  <si>
    <t>HU-07  01</t>
  </si>
  <si>
    <t>HU-07  02</t>
  </si>
  <si>
    <t>HU-09  01</t>
  </si>
  <si>
    <t>HU-09  02</t>
  </si>
  <si>
    <t xml:space="preserve">NOMBRE </t>
  </si>
  <si>
    <t>RNF01,RNF02, RNF03, RNF04</t>
  </si>
  <si>
    <t>RNF05, RNF8</t>
  </si>
  <si>
    <t>RNF06, RNF07</t>
  </si>
  <si>
    <t>RNF09</t>
  </si>
  <si>
    <t>RNF10</t>
  </si>
  <si>
    <t>RNF13</t>
  </si>
  <si>
    <t>RNF15, RNF16, RNF17</t>
  </si>
  <si>
    <t>RNF18, RNF19, RNF20</t>
  </si>
  <si>
    <t>RNF14, RNF12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</si>
</sst>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33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ont="1" applyBorder="1"/>
    <xf numFmtId="0" fontId="0" fillId="15" borderId="6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9966FF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F830-0F55-481C-99FD-CD3E55F5AEBB}">
  <dimension ref="B3:O40"/>
  <sheetViews>
    <sheetView tabSelected="1" topLeftCell="E1" workbookViewId="0">
      <selection activeCell="K5" sqref="K5:O40"/>
    </sheetView>
  </sheetViews>
  <sheetFormatPr baseColWidth="10" defaultRowHeight="14.4" x14ac:dyDescent="0.3"/>
  <cols>
    <col min="1" max="1" width="10.44140625" customWidth="1"/>
    <col min="2" max="2" width="21" customWidth="1"/>
    <col min="3" max="3" width="20.6640625" customWidth="1"/>
    <col min="6" max="6" width="15.33203125" customWidth="1"/>
    <col min="7" max="7" width="25.77734375" customWidth="1"/>
    <col min="8" max="8" width="14.33203125" customWidth="1"/>
    <col min="10" max="10" width="7.77734375" customWidth="1"/>
    <col min="12" max="12" width="77.88671875" customWidth="1"/>
    <col min="13" max="13" width="15.77734375" customWidth="1"/>
    <col min="14" max="14" width="13.21875" customWidth="1"/>
    <col min="15" max="15" width="16.77734375" customWidth="1"/>
  </cols>
  <sheetData>
    <row r="3" spans="2:15" x14ac:dyDescent="0.3">
      <c r="B3" s="8" t="s">
        <v>4</v>
      </c>
      <c r="C3" s="8"/>
      <c r="F3" s="8" t="s">
        <v>0</v>
      </c>
      <c r="G3" s="8"/>
      <c r="H3" s="8"/>
    </row>
    <row r="4" spans="2:15" x14ac:dyDescent="0.3">
      <c r="B4" s="7" t="s">
        <v>5</v>
      </c>
      <c r="C4" s="7" t="s">
        <v>6</v>
      </c>
      <c r="F4" s="7" t="s">
        <v>3</v>
      </c>
      <c r="G4" s="7" t="s">
        <v>2</v>
      </c>
      <c r="H4" s="7" t="s">
        <v>93</v>
      </c>
    </row>
    <row r="5" spans="2:15" x14ac:dyDescent="0.3">
      <c r="B5" s="1" t="s">
        <v>7</v>
      </c>
      <c r="C5" s="1" t="s">
        <v>24</v>
      </c>
      <c r="F5" s="1" t="s">
        <v>7</v>
      </c>
      <c r="G5" s="1" t="s">
        <v>35</v>
      </c>
      <c r="H5" s="6">
        <v>10</v>
      </c>
      <c r="K5" s="8" t="s">
        <v>67</v>
      </c>
      <c r="L5" s="8"/>
      <c r="M5" s="8"/>
      <c r="N5" s="8"/>
      <c r="O5" s="8"/>
    </row>
    <row r="6" spans="2:15" x14ac:dyDescent="0.3">
      <c r="B6" s="1" t="s">
        <v>8</v>
      </c>
      <c r="C6" s="1" t="s">
        <v>25</v>
      </c>
      <c r="F6" s="1" t="s">
        <v>8</v>
      </c>
      <c r="G6" s="1" t="s">
        <v>36</v>
      </c>
      <c r="H6" s="6">
        <v>14</v>
      </c>
      <c r="K6" s="2" t="s">
        <v>68</v>
      </c>
      <c r="L6" s="2" t="s">
        <v>132</v>
      </c>
      <c r="M6" s="2" t="s">
        <v>91</v>
      </c>
      <c r="N6" s="2" t="s">
        <v>79</v>
      </c>
      <c r="O6" s="2" t="s">
        <v>92</v>
      </c>
    </row>
    <row r="7" spans="2:15" x14ac:dyDescent="0.3">
      <c r="B7" s="1" t="s">
        <v>9</v>
      </c>
      <c r="C7" s="1" t="s">
        <v>26</v>
      </c>
      <c r="F7" s="1" t="s">
        <v>9</v>
      </c>
      <c r="G7" s="1" t="s">
        <v>37</v>
      </c>
      <c r="H7" s="6">
        <v>3</v>
      </c>
      <c r="K7" s="5" t="s">
        <v>77</v>
      </c>
      <c r="L7" s="23" t="s">
        <v>94</v>
      </c>
      <c r="M7" s="6">
        <v>5</v>
      </c>
      <c r="N7" s="14" t="s">
        <v>80</v>
      </c>
      <c r="O7" s="14">
        <v>21</v>
      </c>
    </row>
    <row r="8" spans="2:15" x14ac:dyDescent="0.3">
      <c r="B8" s="1" t="s">
        <v>10</v>
      </c>
      <c r="C8" s="1" t="s">
        <v>27</v>
      </c>
      <c r="F8" s="1" t="s">
        <v>10</v>
      </c>
      <c r="G8" s="1" t="s">
        <v>38</v>
      </c>
      <c r="H8" s="6">
        <v>4</v>
      </c>
      <c r="K8" s="5" t="s">
        <v>63</v>
      </c>
      <c r="L8" s="23" t="s">
        <v>95</v>
      </c>
      <c r="M8" s="6">
        <v>4</v>
      </c>
      <c r="N8" s="14"/>
      <c r="O8" s="14"/>
    </row>
    <row r="9" spans="2:15" ht="24" customHeight="1" x14ac:dyDescent="0.3">
      <c r="B9" s="1" t="s">
        <v>11</v>
      </c>
      <c r="C9" s="1" t="s">
        <v>34</v>
      </c>
      <c r="F9" s="1" t="s">
        <v>11</v>
      </c>
      <c r="G9" s="1" t="s">
        <v>39</v>
      </c>
      <c r="H9" s="6">
        <v>16</v>
      </c>
      <c r="K9" s="5" t="s">
        <v>61</v>
      </c>
      <c r="L9" s="23" t="s">
        <v>96</v>
      </c>
      <c r="M9" s="6">
        <v>6</v>
      </c>
      <c r="N9" s="14"/>
      <c r="O9" s="14"/>
    </row>
    <row r="10" spans="2:15" x14ac:dyDescent="0.3">
      <c r="B10" s="1" t="s">
        <v>12</v>
      </c>
      <c r="C10" s="1" t="s">
        <v>34</v>
      </c>
      <c r="F10" s="1" t="s">
        <v>12</v>
      </c>
      <c r="G10" s="1" t="s">
        <v>40</v>
      </c>
      <c r="H10" s="6">
        <v>12</v>
      </c>
      <c r="K10" s="5" t="s">
        <v>23</v>
      </c>
      <c r="L10" s="23" t="s">
        <v>97</v>
      </c>
      <c r="M10" s="6">
        <v>6</v>
      </c>
      <c r="N10" s="14"/>
      <c r="O10" s="14"/>
    </row>
    <row r="11" spans="2:15" x14ac:dyDescent="0.3">
      <c r="B11" s="1" t="s">
        <v>13</v>
      </c>
      <c r="C11" s="1" t="s">
        <v>28</v>
      </c>
      <c r="F11" s="1" t="s">
        <v>13</v>
      </c>
      <c r="G11" s="1" t="s">
        <v>41</v>
      </c>
      <c r="H11" s="6">
        <v>14</v>
      </c>
      <c r="K11" s="5" t="s">
        <v>60</v>
      </c>
      <c r="L11" s="23" t="s">
        <v>98</v>
      </c>
      <c r="M11" s="6">
        <v>8</v>
      </c>
      <c r="N11" s="15" t="s">
        <v>81</v>
      </c>
      <c r="O11" s="15">
        <v>22</v>
      </c>
    </row>
    <row r="12" spans="2:15" x14ac:dyDescent="0.3">
      <c r="B12" s="1" t="s">
        <v>14</v>
      </c>
      <c r="C12" s="1" t="s">
        <v>28</v>
      </c>
      <c r="F12" s="1" t="s">
        <v>14</v>
      </c>
      <c r="G12" s="1" t="s">
        <v>42</v>
      </c>
      <c r="H12" s="6">
        <v>10</v>
      </c>
      <c r="K12" s="22" t="s">
        <v>7</v>
      </c>
      <c r="L12" s="27" t="s">
        <v>99</v>
      </c>
      <c r="M12" s="6">
        <v>10</v>
      </c>
      <c r="N12" s="15"/>
      <c r="O12" s="15"/>
    </row>
    <row r="13" spans="2:15" x14ac:dyDescent="0.3">
      <c r="B13" s="1" t="s">
        <v>15</v>
      </c>
      <c r="C13" s="1" t="s">
        <v>29</v>
      </c>
      <c r="F13" s="1" t="s">
        <v>15</v>
      </c>
      <c r="G13" s="1" t="s">
        <v>43</v>
      </c>
      <c r="H13" s="6">
        <v>16</v>
      </c>
      <c r="K13" s="5" t="s">
        <v>124</v>
      </c>
      <c r="L13" s="1" t="s">
        <v>100</v>
      </c>
      <c r="M13" s="6">
        <v>4</v>
      </c>
      <c r="N13" s="15"/>
      <c r="O13" s="15"/>
    </row>
    <row r="14" spans="2:15" x14ac:dyDescent="0.3">
      <c r="B14" s="1" t="s">
        <v>16</v>
      </c>
      <c r="C14" s="1" t="s">
        <v>30</v>
      </c>
      <c r="F14" s="1" t="s">
        <v>16</v>
      </c>
      <c r="G14" s="1" t="s">
        <v>44</v>
      </c>
      <c r="H14" s="6">
        <v>8</v>
      </c>
      <c r="K14" s="5" t="s">
        <v>125</v>
      </c>
      <c r="L14" s="1" t="s">
        <v>100</v>
      </c>
      <c r="M14" s="6">
        <v>1</v>
      </c>
      <c r="N14" s="9" t="s">
        <v>82</v>
      </c>
      <c r="O14" s="9">
        <v>21</v>
      </c>
    </row>
    <row r="15" spans="2:15" x14ac:dyDescent="0.3">
      <c r="B15" s="1" t="s">
        <v>17</v>
      </c>
      <c r="C15" s="1" t="s">
        <v>31</v>
      </c>
      <c r="F15" s="1" t="s">
        <v>17</v>
      </c>
      <c r="G15" s="1" t="s">
        <v>45</v>
      </c>
      <c r="H15" s="6">
        <v>16</v>
      </c>
      <c r="K15" s="5" t="s">
        <v>55</v>
      </c>
      <c r="L15" s="1" t="s">
        <v>101</v>
      </c>
      <c r="M15" s="6">
        <v>6</v>
      </c>
      <c r="N15" s="9"/>
      <c r="O15" s="9"/>
    </row>
    <row r="16" spans="2:15" x14ac:dyDescent="0.3">
      <c r="B16" s="1" t="s">
        <v>18</v>
      </c>
      <c r="C16" s="4" t="s">
        <v>32</v>
      </c>
      <c r="F16" s="1" t="s">
        <v>18</v>
      </c>
      <c r="G16" s="1" t="s">
        <v>46</v>
      </c>
      <c r="H16" s="6">
        <v>14</v>
      </c>
      <c r="K16" s="1" t="s">
        <v>8</v>
      </c>
      <c r="L16" s="1" t="s">
        <v>102</v>
      </c>
      <c r="M16" s="6">
        <v>14</v>
      </c>
      <c r="N16" s="9"/>
      <c r="O16" s="9"/>
    </row>
    <row r="17" spans="2:15" x14ac:dyDescent="0.3">
      <c r="B17" s="1" t="s">
        <v>19</v>
      </c>
      <c r="C17" s="1" t="s">
        <v>34</v>
      </c>
      <c r="F17" s="1" t="s">
        <v>19</v>
      </c>
      <c r="G17" s="1" t="s">
        <v>47</v>
      </c>
      <c r="H17" s="6">
        <v>16</v>
      </c>
      <c r="K17" s="1" t="s">
        <v>70</v>
      </c>
      <c r="L17" s="1" t="s">
        <v>104</v>
      </c>
      <c r="M17" s="6">
        <v>4</v>
      </c>
      <c r="N17" s="10" t="s">
        <v>83</v>
      </c>
      <c r="O17" s="10">
        <v>22</v>
      </c>
    </row>
    <row r="18" spans="2:15" x14ac:dyDescent="0.3">
      <c r="B18" s="1" t="s">
        <v>20</v>
      </c>
      <c r="C18" s="1" t="s">
        <v>31</v>
      </c>
      <c r="F18" s="1" t="s">
        <v>20</v>
      </c>
      <c r="G18" s="1" t="s">
        <v>48</v>
      </c>
      <c r="H18" s="6">
        <v>12</v>
      </c>
      <c r="K18" s="1" t="s">
        <v>69</v>
      </c>
      <c r="L18" s="1" t="s">
        <v>103</v>
      </c>
      <c r="M18" s="6">
        <v>3</v>
      </c>
      <c r="N18" s="10"/>
      <c r="O18" s="10"/>
    </row>
    <row r="19" spans="2:15" x14ac:dyDescent="0.3">
      <c r="B19" s="1" t="s">
        <v>21</v>
      </c>
      <c r="C19" s="1" t="s">
        <v>33</v>
      </c>
      <c r="F19" s="1" t="s">
        <v>21</v>
      </c>
      <c r="G19" s="1" t="s">
        <v>49</v>
      </c>
      <c r="H19" s="6">
        <v>4</v>
      </c>
      <c r="K19" s="5" t="s">
        <v>53</v>
      </c>
      <c r="L19" s="1" t="s">
        <v>105</v>
      </c>
      <c r="M19" s="6">
        <v>5</v>
      </c>
      <c r="N19" s="10"/>
      <c r="O19" s="10"/>
    </row>
    <row r="20" spans="2:15" x14ac:dyDescent="0.3">
      <c r="B20" s="1" t="s">
        <v>22</v>
      </c>
      <c r="C20" s="1" t="s">
        <v>30</v>
      </c>
      <c r="F20" s="1" t="s">
        <v>22</v>
      </c>
      <c r="G20" s="1" t="s">
        <v>50</v>
      </c>
      <c r="H20" s="6">
        <v>6</v>
      </c>
      <c r="K20" s="5" t="s">
        <v>56</v>
      </c>
      <c r="L20" s="1" t="s">
        <v>106</v>
      </c>
      <c r="M20" s="6">
        <v>4</v>
      </c>
      <c r="N20" s="10"/>
      <c r="O20" s="10"/>
    </row>
    <row r="21" spans="2:15" x14ac:dyDescent="0.3">
      <c r="G21" s="3" t="s">
        <v>52</v>
      </c>
      <c r="H21" s="2">
        <f>SUM(H5:H20)</f>
        <v>175</v>
      </c>
      <c r="K21" s="1" t="s">
        <v>126</v>
      </c>
      <c r="L21" s="1" t="s">
        <v>107</v>
      </c>
      <c r="M21" s="6">
        <v>6</v>
      </c>
      <c r="N21" s="10"/>
      <c r="O21" s="10"/>
    </row>
    <row r="22" spans="2:15" x14ac:dyDescent="0.3">
      <c r="K22" s="1" t="s">
        <v>127</v>
      </c>
      <c r="L22" s="1" t="s">
        <v>107</v>
      </c>
      <c r="M22" s="6">
        <v>10</v>
      </c>
      <c r="N22" s="16" t="s">
        <v>84</v>
      </c>
      <c r="O22" s="16">
        <v>22</v>
      </c>
    </row>
    <row r="23" spans="2:15" x14ac:dyDescent="0.3">
      <c r="K23" s="1" t="s">
        <v>71</v>
      </c>
      <c r="L23" s="1" t="s">
        <v>108</v>
      </c>
      <c r="M23" s="6">
        <v>12</v>
      </c>
      <c r="N23" s="16"/>
      <c r="O23" s="16"/>
    </row>
    <row r="24" spans="2:15" x14ac:dyDescent="0.3">
      <c r="F24" s="11" t="s">
        <v>51</v>
      </c>
      <c r="G24" s="12"/>
      <c r="H24" s="13"/>
      <c r="K24" s="1" t="s">
        <v>122</v>
      </c>
      <c r="L24" s="1" t="s">
        <v>109</v>
      </c>
      <c r="M24" s="6">
        <v>16</v>
      </c>
      <c r="N24" s="17" t="s">
        <v>85</v>
      </c>
      <c r="O24" s="17">
        <v>22</v>
      </c>
    </row>
    <row r="25" spans="2:15" x14ac:dyDescent="0.3">
      <c r="F25" s="7" t="s">
        <v>3</v>
      </c>
      <c r="G25" s="7" t="s">
        <v>2</v>
      </c>
      <c r="H25" s="7" t="s">
        <v>1</v>
      </c>
      <c r="K25" s="1" t="s">
        <v>128</v>
      </c>
      <c r="L25" s="1" t="s">
        <v>110</v>
      </c>
      <c r="M25" s="6">
        <v>6</v>
      </c>
      <c r="N25" s="17"/>
      <c r="O25" s="17"/>
    </row>
    <row r="26" spans="2:15" x14ac:dyDescent="0.3">
      <c r="F26" s="1" t="s">
        <v>53</v>
      </c>
      <c r="G26" s="1" t="s">
        <v>133</v>
      </c>
      <c r="H26" s="6">
        <v>5</v>
      </c>
      <c r="K26" s="1" t="s">
        <v>129</v>
      </c>
      <c r="L26" s="1" t="s">
        <v>110</v>
      </c>
      <c r="M26" s="6">
        <v>8</v>
      </c>
      <c r="N26" s="18" t="s">
        <v>86</v>
      </c>
      <c r="O26" s="18">
        <v>21</v>
      </c>
    </row>
    <row r="27" spans="2:15" x14ac:dyDescent="0.3">
      <c r="F27" s="1" t="s">
        <v>54</v>
      </c>
      <c r="G27" s="1" t="s">
        <v>134</v>
      </c>
      <c r="H27" s="6">
        <v>5</v>
      </c>
      <c r="K27" s="1" t="s">
        <v>72</v>
      </c>
      <c r="L27" s="1" t="s">
        <v>111</v>
      </c>
      <c r="M27" s="6">
        <v>10</v>
      </c>
      <c r="N27" s="18"/>
      <c r="O27" s="18"/>
    </row>
    <row r="28" spans="2:15" x14ac:dyDescent="0.3">
      <c r="F28" s="1" t="s">
        <v>23</v>
      </c>
      <c r="G28" s="1" t="s">
        <v>135</v>
      </c>
      <c r="H28" s="6">
        <v>6</v>
      </c>
      <c r="K28" s="1" t="s">
        <v>130</v>
      </c>
      <c r="L28" s="1" t="s">
        <v>112</v>
      </c>
      <c r="M28" s="6">
        <v>3</v>
      </c>
      <c r="N28" s="18"/>
      <c r="O28" s="18"/>
    </row>
    <row r="29" spans="2:15" x14ac:dyDescent="0.3">
      <c r="F29" s="1" t="s">
        <v>55</v>
      </c>
      <c r="G29" s="1" t="s">
        <v>136</v>
      </c>
      <c r="H29" s="6">
        <v>6</v>
      </c>
      <c r="K29" s="1" t="s">
        <v>131</v>
      </c>
      <c r="L29" s="1" t="s">
        <v>112</v>
      </c>
      <c r="M29" s="6">
        <v>13</v>
      </c>
      <c r="N29" s="19" t="s">
        <v>87</v>
      </c>
      <c r="O29" s="19">
        <v>21</v>
      </c>
    </row>
    <row r="30" spans="2:15" x14ac:dyDescent="0.3">
      <c r="F30" s="1" t="s">
        <v>56</v>
      </c>
      <c r="G30" s="1" t="s">
        <v>137</v>
      </c>
      <c r="H30" s="6">
        <v>4</v>
      </c>
      <c r="K30" s="1" t="s">
        <v>73</v>
      </c>
      <c r="L30" s="1" t="s">
        <v>113</v>
      </c>
      <c r="M30" s="6">
        <v>8</v>
      </c>
      <c r="N30" s="19"/>
      <c r="O30" s="19"/>
    </row>
    <row r="31" spans="2:15" x14ac:dyDescent="0.3">
      <c r="F31" s="1" t="s">
        <v>57</v>
      </c>
      <c r="G31" s="1" t="s">
        <v>64</v>
      </c>
      <c r="H31" s="6">
        <v>4</v>
      </c>
      <c r="K31" s="1" t="s">
        <v>74</v>
      </c>
      <c r="L31" s="1" t="s">
        <v>114</v>
      </c>
      <c r="M31" s="6">
        <v>6</v>
      </c>
      <c r="N31" s="20" t="s">
        <v>90</v>
      </c>
      <c r="O31" s="20">
        <v>22</v>
      </c>
    </row>
    <row r="32" spans="2:15" x14ac:dyDescent="0.3">
      <c r="F32" s="1" t="s">
        <v>58</v>
      </c>
      <c r="G32" s="1" t="s">
        <v>138</v>
      </c>
      <c r="H32" s="6">
        <v>4</v>
      </c>
      <c r="K32" s="1" t="s">
        <v>123</v>
      </c>
      <c r="L32" s="1" t="s">
        <v>115</v>
      </c>
      <c r="M32" s="6">
        <v>16</v>
      </c>
      <c r="N32" s="20"/>
      <c r="O32" s="20"/>
    </row>
    <row r="33" spans="6:15" x14ac:dyDescent="0.3">
      <c r="F33" s="1" t="s">
        <v>59</v>
      </c>
      <c r="G33" s="1" t="s">
        <v>141</v>
      </c>
      <c r="H33" s="6">
        <v>5</v>
      </c>
      <c r="K33" s="1" t="s">
        <v>75</v>
      </c>
      <c r="L33" s="1" t="s">
        <v>116</v>
      </c>
      <c r="M33" s="6">
        <v>12</v>
      </c>
      <c r="N33" s="21" t="s">
        <v>88</v>
      </c>
      <c r="O33" s="21">
        <v>22</v>
      </c>
    </row>
    <row r="34" spans="6:15" x14ac:dyDescent="0.3">
      <c r="F34" s="1" t="s">
        <v>60</v>
      </c>
      <c r="G34" s="1" t="s">
        <v>139</v>
      </c>
      <c r="H34" s="6">
        <v>8</v>
      </c>
      <c r="K34" s="1" t="s">
        <v>76</v>
      </c>
      <c r="L34" s="1" t="s">
        <v>117</v>
      </c>
      <c r="M34" s="6">
        <v>4</v>
      </c>
      <c r="N34" s="21"/>
      <c r="O34" s="21"/>
    </row>
    <row r="35" spans="6:15" x14ac:dyDescent="0.3">
      <c r="F35" s="1" t="s">
        <v>61</v>
      </c>
      <c r="G35" s="1" t="s">
        <v>140</v>
      </c>
      <c r="H35" s="6">
        <v>4</v>
      </c>
      <c r="K35" s="1" t="s">
        <v>78</v>
      </c>
      <c r="L35" s="1" t="s">
        <v>118</v>
      </c>
      <c r="M35" s="6">
        <v>6</v>
      </c>
      <c r="N35" s="21"/>
      <c r="O35" s="21"/>
    </row>
    <row r="36" spans="6:15" x14ac:dyDescent="0.3">
      <c r="F36" s="1" t="s">
        <v>62</v>
      </c>
      <c r="G36" s="1" t="s">
        <v>65</v>
      </c>
      <c r="H36" s="6">
        <v>4</v>
      </c>
      <c r="K36" s="1" t="s">
        <v>78</v>
      </c>
      <c r="L36" s="1" t="s">
        <v>118</v>
      </c>
      <c r="M36" s="6">
        <v>8</v>
      </c>
      <c r="N36" s="24" t="s">
        <v>89</v>
      </c>
      <c r="O36" s="24">
        <v>21</v>
      </c>
    </row>
    <row r="37" spans="6:15" x14ac:dyDescent="0.3">
      <c r="F37" s="1" t="s">
        <v>63</v>
      </c>
      <c r="G37" s="1" t="s">
        <v>66</v>
      </c>
      <c r="H37" s="6">
        <v>5</v>
      </c>
      <c r="K37" s="5" t="s">
        <v>57</v>
      </c>
      <c r="L37" s="1" t="s">
        <v>119</v>
      </c>
      <c r="M37" s="6">
        <v>4</v>
      </c>
      <c r="N37" s="25"/>
      <c r="O37" s="25"/>
    </row>
    <row r="38" spans="6:15" x14ac:dyDescent="0.3">
      <c r="G38" s="3" t="s">
        <v>52</v>
      </c>
      <c r="H38" s="2">
        <f>SUM(H26:H37)</f>
        <v>60</v>
      </c>
      <c r="K38" s="5" t="s">
        <v>59</v>
      </c>
      <c r="L38" s="1" t="s">
        <v>120</v>
      </c>
      <c r="M38" s="6">
        <v>5</v>
      </c>
      <c r="N38" s="25"/>
      <c r="O38" s="25"/>
    </row>
    <row r="39" spans="6:15" x14ac:dyDescent="0.3">
      <c r="K39" s="5" t="s">
        <v>58</v>
      </c>
      <c r="L39" s="1" t="s">
        <v>121</v>
      </c>
      <c r="M39" s="6">
        <v>4</v>
      </c>
      <c r="N39" s="26"/>
      <c r="O39" s="26"/>
    </row>
    <row r="40" spans="6:15" x14ac:dyDescent="0.3">
      <c r="L40" s="3" t="s">
        <v>52</v>
      </c>
      <c r="M40" s="3">
        <f>SUM(M7:M39)</f>
        <v>237</v>
      </c>
      <c r="N40" s="3">
        <v>11</v>
      </c>
      <c r="O40" s="1">
        <f>SUM(O7:O39)</f>
        <v>237</v>
      </c>
    </row>
  </sheetData>
  <mergeCells count="26">
    <mergeCell ref="N36:N39"/>
    <mergeCell ref="O36:O39"/>
    <mergeCell ref="N24:N25"/>
    <mergeCell ref="O24:O25"/>
    <mergeCell ref="N26:N28"/>
    <mergeCell ref="O26:O28"/>
    <mergeCell ref="N29:N30"/>
    <mergeCell ref="O29:O30"/>
    <mergeCell ref="N14:N16"/>
    <mergeCell ref="O14:O16"/>
    <mergeCell ref="N17:N21"/>
    <mergeCell ref="O17:O21"/>
    <mergeCell ref="N22:N23"/>
    <mergeCell ref="O22:O23"/>
    <mergeCell ref="N31:N32"/>
    <mergeCell ref="O31:O32"/>
    <mergeCell ref="N33:N35"/>
    <mergeCell ref="O33:O35"/>
    <mergeCell ref="B3:C3"/>
    <mergeCell ref="F24:H24"/>
    <mergeCell ref="F3:H3"/>
    <mergeCell ref="K5:O5"/>
    <mergeCell ref="N7:N10"/>
    <mergeCell ref="O7:O10"/>
    <mergeCell ref="N11:N13"/>
    <mergeCell ref="O11:O1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Hoja1!_Hlk212062447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ALEXANDER CHARCO TENESACA</dc:creator>
  <cp:lastModifiedBy>JEFERSON ALEXANDER CHARCO TENESACA</cp:lastModifiedBy>
  <cp:lastPrinted>2025-10-23T03:51:45Z</cp:lastPrinted>
  <dcterms:created xsi:type="dcterms:W3CDTF">2025-10-17T20:40:50Z</dcterms:created>
  <dcterms:modified xsi:type="dcterms:W3CDTF">2025-10-23T03:57:12Z</dcterms:modified>
</cp:coreProperties>
</file>